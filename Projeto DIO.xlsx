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e\Desktop\Planilhas de Prática DIO\"/>
    </mc:Choice>
  </mc:AlternateContent>
  <xr:revisionPtr revIDLastSave="0" documentId="13_ncr:1_{21D96B0B-8E75-4C89-9DB3-45B0850F5E66}" xr6:coauthVersionLast="47" xr6:coauthVersionMax="47" xr10:uidLastSave="{00000000-0000-0000-0000-000000000000}"/>
  <bookViews>
    <workbookView xWindow="-120" yWindow="-120" windowWidth="20730" windowHeight="11040" tabRatio="10" xr2:uid="{8F1A8072-ACDE-4D80-9C15-DAEAF7D32DC8}"/>
  </bookViews>
  <sheets>
    <sheet name="Simulador" sheetId="1" r:id="rId1"/>
    <sheet name="PROV" sheetId="2" r:id="rId2"/>
  </sheets>
  <definedNames>
    <definedName name="Aporte">Simulador!$D$9</definedName>
    <definedName name="patrimonio">Simulador!$D$12</definedName>
    <definedName name="periodo">Simulador!$D$10</definedName>
    <definedName name="Rendimento_carteira">Simulador!$D$5</definedName>
    <definedName name="salario">Simulador!$D$4</definedName>
    <definedName name="sug_invest">Simulador!$D$6</definedName>
    <definedName name="Tx_mensal">Simulador!$D$11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D9" i="1" s="1"/>
  <c r="C28" i="1"/>
  <c r="C29" i="1"/>
  <c r="C27" i="1"/>
  <c r="A11" i="2"/>
  <c r="A12" i="2"/>
  <c r="A13" i="2"/>
  <c r="A7" i="2"/>
  <c r="A8" i="2"/>
  <c r="A9" i="2"/>
  <c r="A4" i="2"/>
  <c r="A5" i="2"/>
  <c r="A3" i="2"/>
  <c r="C24" i="1" l="1"/>
  <c r="C18" i="1"/>
  <c r="D18" i="1" s="1"/>
  <c r="C16" i="1"/>
  <c r="D16" i="1" s="1"/>
  <c r="C19" i="1"/>
  <c r="D19" i="1" s="1"/>
  <c r="D12" i="1"/>
  <c r="D13" i="1" s="1"/>
  <c r="C20" i="1"/>
  <c r="D20" i="1" s="1"/>
  <c r="C17" i="1"/>
  <c r="D17" i="1" s="1"/>
  <c r="D27" i="1"/>
  <c r="C30" i="1"/>
  <c r="D29" i="1"/>
  <c r="D28" i="1"/>
  <c r="D30" i="1" l="1"/>
</calcChain>
</file>

<file path=xl/sharedStrings.xml><?xml version="1.0" encoding="utf-8"?>
<sst xmlns="http://schemas.openxmlformats.org/spreadsheetml/2006/main" count="50" uniqueCount="32">
  <si>
    <t>Quanto investir por mês</t>
  </si>
  <si>
    <t>Por quantos anos?</t>
  </si>
  <si>
    <t>Tx de Rend. Mensal</t>
  </si>
  <si>
    <t>Patrimônio Acum.</t>
  </si>
  <si>
    <t>Investimento Mensal</t>
  </si>
  <si>
    <t>Quanto em 2 anos?</t>
  </si>
  <si>
    <t>Quanto em 30 anos?</t>
  </si>
  <si>
    <t>Quanto em 20 anos?</t>
  </si>
  <si>
    <t>Quanto em 10 anos?</t>
  </si>
  <si>
    <t>Quanto em 7 anos?</t>
  </si>
  <si>
    <t>Cenários</t>
  </si>
  <si>
    <t>Div.</t>
  </si>
  <si>
    <t>Configurações</t>
  </si>
  <si>
    <t>Salário</t>
  </si>
  <si>
    <t>Rend. Carteira</t>
  </si>
  <si>
    <t>Sugest. Inves.</t>
  </si>
  <si>
    <t>Total</t>
  </si>
  <si>
    <t>Perfil</t>
  </si>
  <si>
    <t>Arrojado</t>
  </si>
  <si>
    <t>Moderado</t>
  </si>
  <si>
    <t>Valor por Mês</t>
  </si>
  <si>
    <t>Tipo de FII</t>
  </si>
  <si>
    <t>Percentual Sugerido</t>
  </si>
  <si>
    <t>Valores</t>
  </si>
  <si>
    <t>Papel</t>
  </si>
  <si>
    <t>Tijolo</t>
  </si>
  <si>
    <t>Hibridos</t>
  </si>
  <si>
    <t>Conservador</t>
  </si>
  <si>
    <t>PERFIL</t>
  </si>
  <si>
    <t>%</t>
  </si>
  <si>
    <t>CHAVE</t>
  </si>
  <si>
    <t>Div.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</si>
</sst>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0;[Red]\-&quot;R$&quot;\ #,##0.000"/>
    <numFmt numFmtId="166" formatCode="&quot;R$&quot;\ #,##0.00"/>
  </numFmts>
  <fonts count="10" x14ac:knownFonts="1">
    <font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rgb="FF9C5700"/>
      <name val="Segoe UI"/>
      <family val="2"/>
    </font>
    <font>
      <sz val="12"/>
      <color theme="0"/>
      <name val="Segoe UI"/>
      <family val="2"/>
    </font>
    <font>
      <b/>
      <sz val="14"/>
      <color rgb="FF9C5700"/>
      <name val="Segoe UI"/>
      <family val="2"/>
    </font>
    <font>
      <b/>
      <sz val="16"/>
      <color rgb="FF9C5700"/>
      <name val="Segoe UI"/>
      <family val="2"/>
    </font>
    <font>
      <b/>
      <sz val="14"/>
      <color theme="1"/>
      <name val="Segoe UI"/>
      <family val="2"/>
    </font>
    <font>
      <i/>
      <sz val="14"/>
      <color theme="1"/>
      <name val="Segoe UI"/>
      <family val="2"/>
    </font>
    <font>
      <b/>
      <i/>
      <sz val="14"/>
      <color theme="1"/>
      <name val="Segoe UI"/>
      <family val="2"/>
    </font>
    <font>
      <b/>
      <sz val="20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166" fontId="0" fillId="0" borderId="23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2" applyNumberFormat="1" applyFont="1" applyBorder="1" applyAlignment="1">
      <alignment horizontal="center" vertical="center"/>
    </xf>
    <xf numFmtId="8" fontId="0" fillId="4" borderId="14" xfId="0" applyNumberFormat="1" applyFill="1" applyBorder="1" applyAlignment="1">
      <alignment horizontal="center" vertical="center"/>
    </xf>
    <xf numFmtId="165" fontId="0" fillId="4" borderId="17" xfId="0" applyNumberFormat="1" applyFill="1" applyBorder="1" applyAlignment="1">
      <alignment horizontal="center" vertical="center"/>
    </xf>
    <xf numFmtId="8" fontId="0" fillId="4" borderId="9" xfId="0" applyNumberFormat="1" applyFill="1" applyBorder="1" applyAlignment="1">
      <alignment horizontal="center" vertical="center"/>
    </xf>
    <xf numFmtId="8" fontId="0" fillId="4" borderId="12" xfId="0" applyNumberFormat="1" applyFill="1" applyBorder="1" applyAlignment="1">
      <alignment horizontal="center" vertical="center"/>
    </xf>
    <xf numFmtId="8" fontId="0" fillId="4" borderId="10" xfId="0" applyNumberFormat="1" applyFill="1" applyBorder="1" applyAlignment="1">
      <alignment horizontal="center" vertical="center"/>
    </xf>
    <xf numFmtId="8" fontId="0" fillId="4" borderId="16" xfId="0" applyNumberFormat="1" applyFill="1" applyBorder="1" applyAlignment="1">
      <alignment horizontal="center" vertical="center"/>
    </xf>
    <xf numFmtId="8" fontId="0" fillId="4" borderId="17" xfId="0" applyNumberFormat="1" applyFill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2" borderId="1" xfId="3" applyFont="1" applyBorder="1" applyAlignment="1">
      <alignment horizontal="center"/>
    </xf>
    <xf numFmtId="0" fontId="5" fillId="4" borderId="3" xfId="3" applyFont="1" applyFill="1" applyBorder="1" applyAlignment="1">
      <alignment horizontal="center"/>
    </xf>
    <xf numFmtId="166" fontId="6" fillId="4" borderId="3" xfId="0" applyNumberFormat="1" applyFont="1" applyFill="1" applyBorder="1" applyAlignment="1">
      <alignment horizontal="center" vertical="center"/>
    </xf>
    <xf numFmtId="166" fontId="6" fillId="4" borderId="0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6" fillId="4" borderId="5" xfId="0" applyNumberFormat="1" applyFont="1" applyFill="1" applyBorder="1" applyAlignment="1">
      <alignment horizontal="center" vertical="center"/>
    </xf>
    <xf numFmtId="166" fontId="8" fillId="4" borderId="6" xfId="0" applyNumberFormat="1" applyFont="1" applyFill="1" applyBorder="1" applyAlignment="1">
      <alignment horizontal="center" vertical="center"/>
    </xf>
    <xf numFmtId="10" fontId="6" fillId="4" borderId="8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 indent="3"/>
    </xf>
    <xf numFmtId="0" fontId="7" fillId="4" borderId="13" xfId="0" applyFont="1" applyFill="1" applyBorder="1" applyAlignment="1">
      <alignment horizontal="left" vertical="center" indent="3"/>
    </xf>
    <xf numFmtId="0" fontId="7" fillId="4" borderId="15" xfId="0" applyFont="1" applyFill="1" applyBorder="1" applyAlignment="1">
      <alignment horizontal="left" vertical="center" indent="3"/>
    </xf>
    <xf numFmtId="0" fontId="9" fillId="3" borderId="1" xfId="0" applyFont="1" applyFill="1" applyBorder="1" applyAlignment="1">
      <alignment vertical="center"/>
    </xf>
    <xf numFmtId="0" fontId="9" fillId="3" borderId="7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left" vertical="center" indent="3"/>
    </xf>
    <xf numFmtId="0" fontId="7" fillId="4" borderId="26" xfId="0" applyFont="1" applyFill="1" applyBorder="1" applyAlignment="1">
      <alignment horizontal="left" vertical="center" indent="3"/>
    </xf>
    <xf numFmtId="0" fontId="7" fillId="4" borderId="29" xfId="0" applyFont="1" applyFill="1" applyBorder="1" applyAlignment="1">
      <alignment horizontal="left" vertical="center" indent="3"/>
    </xf>
    <xf numFmtId="0" fontId="7" fillId="4" borderId="27" xfId="0" applyFont="1" applyFill="1" applyBorder="1" applyAlignment="1">
      <alignment horizontal="left" vertical="center" indent="3"/>
    </xf>
    <xf numFmtId="0" fontId="7" fillId="4" borderId="30" xfId="0" applyFont="1" applyFill="1" applyBorder="1" applyAlignment="1">
      <alignment horizontal="left" vertical="center" indent="3"/>
    </xf>
    <xf numFmtId="0" fontId="7" fillId="4" borderId="31" xfId="0" applyFont="1" applyFill="1" applyBorder="1" applyAlignment="1">
      <alignment horizontal="left" vertical="center" indent="3"/>
    </xf>
    <xf numFmtId="0" fontId="4" fillId="2" borderId="7" xfId="3" applyFont="1" applyBorder="1" applyAlignment="1">
      <alignment horizontal="center" vertical="center"/>
    </xf>
    <xf numFmtId="0" fontId="4" fillId="2" borderId="2" xfId="3" applyFont="1" applyBorder="1" applyAlignment="1">
      <alignment horizontal="center" vertical="center"/>
    </xf>
    <xf numFmtId="166" fontId="6" fillId="4" borderId="0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left" vertical="center" indent="3"/>
    </xf>
    <xf numFmtId="0" fontId="8" fillId="4" borderId="16" xfId="0" applyFont="1" applyFill="1" applyBorder="1" applyAlignment="1">
      <alignment horizontal="left" vertical="center" indent="3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7" fillId="0" borderId="21" xfId="0" applyFont="1" applyBorder="1" applyAlignment="1">
      <alignment horizontal="left" vertical="center" indent="3"/>
    </xf>
    <xf numFmtId="0" fontId="7" fillId="0" borderId="22" xfId="0" applyFont="1" applyBorder="1" applyAlignment="1">
      <alignment horizontal="left" vertical="center" indent="3"/>
    </xf>
    <xf numFmtId="0" fontId="7" fillId="0" borderId="13" xfId="0" applyFont="1" applyBorder="1" applyAlignment="1">
      <alignment horizontal="left" vertical="center" indent="3"/>
    </xf>
    <xf numFmtId="0" fontId="7" fillId="0" borderId="10" xfId="0" applyFont="1" applyBorder="1" applyAlignment="1">
      <alignment horizontal="left" vertical="center" indent="3"/>
    </xf>
    <xf numFmtId="0" fontId="8" fillId="4" borderId="13" xfId="0" applyFont="1" applyFill="1" applyBorder="1" applyAlignment="1">
      <alignment horizontal="left" vertical="center" indent="3"/>
    </xf>
    <xf numFmtId="0" fontId="8" fillId="4" borderId="10" xfId="0" applyFont="1" applyFill="1" applyBorder="1" applyAlignment="1">
      <alignment horizontal="left" vertical="center" indent="3"/>
    </xf>
    <xf numFmtId="0" fontId="9" fillId="5" borderId="1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Simulador!$C$26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12-46EB-85F9-555FBC0FEB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12-46EB-85F9-555FBC0FEBE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12-46EB-85F9-555FBC0FEBE7}"/>
              </c:ext>
            </c:extLst>
          </c:dPt>
          <c:cat>
            <c:strRef>
              <c:f>Simulador!$B$27:$B$29</c:f>
              <c:strCache>
                <c:ptCount val="3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</c:strCache>
            </c:strRef>
          </c:cat>
          <c:val>
            <c:numRef>
              <c:f>Simulador!$C$27:$C$29</c:f>
              <c:numCache>
                <c:formatCode>0%</c:formatCode>
                <c:ptCount val="3"/>
                <c:pt idx="0">
                  <c:v>0.1</c:v>
                </c:pt>
                <c:pt idx="1">
                  <c:v>0.8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6-40BA-A4C0-5E6A7556B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2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341982</xdr:colOff>
      <xdr:row>31</xdr:row>
      <xdr:rowOff>11476</xdr:rowOff>
    </xdr:from>
    <xdr:to>
      <xdr:col>4</xdr:col>
      <xdr:colOff>378704</xdr:colOff>
      <xdr:row>47</xdr:row>
      <xdr:rowOff>51872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F11A5F-0752-DB52-EF01-A7FD79810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C95B-F577-4E20-8AFA-F760816A8253}">
  <dimension ref="A2:G57"/>
  <sheetViews>
    <sheetView showGridLines="0" showRowColHeaders="0" tabSelected="1" topLeftCell="A6" zoomScale="87" zoomScaleNormal="100" workbookViewId="0">
      <selection activeCell="E29" sqref="E29"/>
    </sheetView>
  </sheetViews>
  <sheetFormatPr defaultColWidth="0" defaultRowHeight="17.25" x14ac:dyDescent="0.3"/>
  <cols>
    <col min="1" max="1" width="8.88671875" customWidth="1"/>
    <col min="2" max="2" width="38.77734375" customWidth="1"/>
    <col min="3" max="3" width="22.6640625" customWidth="1"/>
    <col min="4" max="4" width="14.21875" bestFit="1" customWidth="1"/>
    <col min="5" max="5" width="6.88671875" customWidth="1"/>
    <col min="6" max="6" width="4" customWidth="1"/>
    <col min="7" max="7" width="3.21875" customWidth="1"/>
    <col min="8" max="16384" width="8.88671875" hidden="1"/>
  </cols>
  <sheetData>
    <row r="2" spans="1:5" ht="18" thickBot="1" x14ac:dyDescent="0.35"/>
    <row r="3" spans="1:5" ht="30.75" x14ac:dyDescent="0.55000000000000004">
      <c r="B3" s="61" t="s">
        <v>12</v>
      </c>
      <c r="C3" s="62"/>
      <c r="D3" s="63"/>
    </row>
    <row r="4" spans="1:5" ht="20.25" x14ac:dyDescent="0.3">
      <c r="B4" s="40" t="s">
        <v>13</v>
      </c>
      <c r="C4" s="41"/>
      <c r="D4" s="15">
        <v>7000</v>
      </c>
    </row>
    <row r="5" spans="1:5" ht="20.25" x14ac:dyDescent="0.3">
      <c r="B5" s="42" t="s">
        <v>14</v>
      </c>
      <c r="C5" s="43"/>
      <c r="D5" s="16">
        <v>1.01E-2</v>
      </c>
    </row>
    <row r="6" spans="1:5" ht="21" thickBot="1" x14ac:dyDescent="0.35">
      <c r="B6" s="44" t="s">
        <v>15</v>
      </c>
      <c r="C6" s="45"/>
      <c r="D6" s="17">
        <f>salario*28%</f>
        <v>1960.0000000000002</v>
      </c>
    </row>
    <row r="7" spans="1:5" ht="18" thickBot="1" x14ac:dyDescent="0.35">
      <c r="E7" s="18"/>
    </row>
    <row r="8" spans="1:5" ht="24.75" customHeight="1" x14ac:dyDescent="0.55000000000000004">
      <c r="B8" s="52" t="s">
        <v>4</v>
      </c>
      <c r="C8" s="53"/>
      <c r="D8" s="54"/>
    </row>
    <row r="9" spans="1:5" ht="20.25" x14ac:dyDescent="0.3">
      <c r="B9" s="55" t="s">
        <v>0</v>
      </c>
      <c r="C9" s="56"/>
      <c r="D9" s="5">
        <f>sug_invest</f>
        <v>1960.0000000000002</v>
      </c>
    </row>
    <row r="10" spans="1:5" ht="20.25" x14ac:dyDescent="0.3">
      <c r="B10" s="57" t="s">
        <v>1</v>
      </c>
      <c r="C10" s="58"/>
      <c r="D10" s="6">
        <v>2</v>
      </c>
    </row>
    <row r="11" spans="1:5" ht="20.25" x14ac:dyDescent="0.3">
      <c r="B11" s="57" t="s">
        <v>2</v>
      </c>
      <c r="C11" s="58"/>
      <c r="D11" s="7">
        <v>1.01E-2</v>
      </c>
    </row>
    <row r="12" spans="1:5" ht="20.25" x14ac:dyDescent="0.3">
      <c r="B12" s="59" t="s">
        <v>3</v>
      </c>
      <c r="C12" s="60"/>
      <c r="D12" s="8">
        <f>FV(Tx_mensal,periodo*12,Aporte*-1)</f>
        <v>52930.727155175009</v>
      </c>
    </row>
    <row r="13" spans="1:5" ht="21" thickBot="1" x14ac:dyDescent="0.35">
      <c r="B13" s="50" t="s">
        <v>31</v>
      </c>
      <c r="C13" s="51"/>
      <c r="D13" s="9">
        <f>patrimonio*Rendimento_carteira</f>
        <v>534.60034426726759</v>
      </c>
    </row>
    <row r="14" spans="1:5" ht="18" thickBot="1" x14ac:dyDescent="0.35"/>
    <row r="15" spans="1:5" ht="30.75" x14ac:dyDescent="0.55000000000000004">
      <c r="B15" s="37" t="s">
        <v>10</v>
      </c>
      <c r="C15" s="38" t="s">
        <v>16</v>
      </c>
      <c r="D15" s="39" t="s">
        <v>11</v>
      </c>
    </row>
    <row r="16" spans="1:5" ht="20.25" x14ac:dyDescent="0.3">
      <c r="A16" s="4">
        <v>2</v>
      </c>
      <c r="B16" s="34" t="s">
        <v>5</v>
      </c>
      <c r="C16" s="10">
        <f>FV($D$11,$A16*12,$D$9*-1)</f>
        <v>52930.727155175009</v>
      </c>
      <c r="D16" s="11">
        <f>C16*Rendimento_carteira</f>
        <v>534.60034426726759</v>
      </c>
    </row>
    <row r="17" spans="1:4" ht="20.25" x14ac:dyDescent="0.3">
      <c r="A17" s="4">
        <v>7</v>
      </c>
      <c r="B17" s="35" t="s">
        <v>9</v>
      </c>
      <c r="C17" s="12">
        <f>FV($D$11,$A17*12,$D$9*-1)</f>
        <v>257320.13510967308</v>
      </c>
      <c r="D17" s="8">
        <f>C17*Rendimento_carteira</f>
        <v>2598.933364607698</v>
      </c>
    </row>
    <row r="18" spans="1:4" ht="20.25" x14ac:dyDescent="0.3">
      <c r="A18" s="4">
        <v>10</v>
      </c>
      <c r="B18" s="35" t="s">
        <v>8</v>
      </c>
      <c r="C18" s="12">
        <f>FV($D$11,$A18*12,$D$9*-1)</f>
        <v>454066.27572764934</v>
      </c>
      <c r="D18" s="8">
        <f>C18*Rendimento_carteira</f>
        <v>4586.0693848492583</v>
      </c>
    </row>
    <row r="19" spans="1:4" ht="20.25" x14ac:dyDescent="0.3">
      <c r="A19" s="4">
        <v>20</v>
      </c>
      <c r="B19" s="35" t="s">
        <v>7</v>
      </c>
      <c r="C19" s="12">
        <f>FV($D$11,$A19*12,$D$9*-1)</f>
        <v>1970571.0442140196</v>
      </c>
      <c r="D19" s="8">
        <f>C19*Rendimento_carteira</f>
        <v>19902.767546561598</v>
      </c>
    </row>
    <row r="20" spans="1:4" ht="21" thickBot="1" x14ac:dyDescent="0.35">
      <c r="A20" s="4">
        <v>30</v>
      </c>
      <c r="B20" s="36" t="s">
        <v>6</v>
      </c>
      <c r="C20" s="13">
        <f>FV($D$11,$A20*12,$D$9*-1)</f>
        <v>7035441.1651153155</v>
      </c>
      <c r="D20" s="14">
        <f>C20*Rendimento_carteira</f>
        <v>71057.95576766468</v>
      </c>
    </row>
    <row r="22" spans="1:4" ht="18" thickBot="1" x14ac:dyDescent="0.35"/>
    <row r="23" spans="1:4" ht="25.5" x14ac:dyDescent="0.5">
      <c r="B23" s="23" t="s">
        <v>17</v>
      </c>
      <c r="C23" s="46" t="s">
        <v>27</v>
      </c>
      <c r="D23" s="47"/>
    </row>
    <row r="24" spans="1:4" ht="25.5" x14ac:dyDescent="0.5">
      <c r="B24" s="24" t="s">
        <v>20</v>
      </c>
      <c r="C24" s="48">
        <f>Aporte</f>
        <v>1960.0000000000002</v>
      </c>
      <c r="D24" s="49"/>
    </row>
    <row r="25" spans="1:4" x14ac:dyDescent="0.3">
      <c r="B25" s="2"/>
      <c r="C25" s="1"/>
      <c r="D25" s="3"/>
    </row>
    <row r="26" spans="1:4" ht="20.25" x14ac:dyDescent="0.3">
      <c r="B26" s="25" t="s">
        <v>21</v>
      </c>
      <c r="C26" s="26" t="s">
        <v>22</v>
      </c>
      <c r="D26" s="27" t="s">
        <v>23</v>
      </c>
    </row>
    <row r="27" spans="1:4" ht="20.25" x14ac:dyDescent="0.3">
      <c r="B27" s="28" t="s">
        <v>24</v>
      </c>
      <c r="C27" s="29">
        <f>VLOOKUP($C$23&amp;"-"&amp;B27,PROV!$A$2:$D$13,4,FALSE)</f>
        <v>0.1</v>
      </c>
      <c r="D27" s="30">
        <f>C27*$C$24</f>
        <v>196.00000000000003</v>
      </c>
    </row>
    <row r="28" spans="1:4" ht="20.25" x14ac:dyDescent="0.3">
      <c r="B28" s="28" t="s">
        <v>25</v>
      </c>
      <c r="C28" s="29">
        <f>VLOOKUP($C$23&amp;"-"&amp;B28,PROV!$A$2:$D$13,4,FALSE)</f>
        <v>0.8</v>
      </c>
      <c r="D28" s="30">
        <f t="shared" ref="D28:D29" si="0">C28*$C$24</f>
        <v>1568.0000000000002</v>
      </c>
    </row>
    <row r="29" spans="1:4" ht="20.25" x14ac:dyDescent="0.3">
      <c r="B29" s="28" t="s">
        <v>26</v>
      </c>
      <c r="C29" s="29">
        <f>VLOOKUP($C$23&amp;"-"&amp;B29,PROV!$A$2:$D$13,4,FALSE)</f>
        <v>0.1</v>
      </c>
      <c r="D29" s="30">
        <f t="shared" si="0"/>
        <v>196.00000000000003</v>
      </c>
    </row>
    <row r="30" spans="1:4" ht="21" thickBot="1" x14ac:dyDescent="0.35">
      <c r="B30" s="31" t="s">
        <v>16</v>
      </c>
      <c r="C30" s="33">
        <f>SUM(C27,C28,C29)</f>
        <v>1</v>
      </c>
      <c r="D30" s="32">
        <f>SUM(D27:D29)</f>
        <v>1960.0000000000002</v>
      </c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</sheetData>
  <mergeCells count="12">
    <mergeCell ref="B3:D3"/>
    <mergeCell ref="B4:C4"/>
    <mergeCell ref="B5:C5"/>
    <mergeCell ref="B6:C6"/>
    <mergeCell ref="C23:D23"/>
    <mergeCell ref="C24:D24"/>
    <mergeCell ref="B13:C13"/>
    <mergeCell ref="B8:D8"/>
    <mergeCell ref="B9:C9"/>
    <mergeCell ref="B10:C10"/>
    <mergeCell ref="B11:C11"/>
    <mergeCell ref="B12:C12"/>
  </mergeCells>
  <dataValidations count="1">
    <dataValidation type="list" allowBlank="1" showInputMessage="1" showErrorMessage="1" promptTitle="Coloque um perfil adequado " sqref="C23" xr:uid="{773B65FD-287C-4542-8967-B0A37D913E73}">
      <formula1>"Arrojado,Moderado,Conservador"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7BA8-456C-420F-B9AE-F179A29B46DD}">
  <dimension ref="A2:D13"/>
  <sheetViews>
    <sheetView workbookViewId="0">
      <selection activeCell="D7" sqref="D7"/>
    </sheetView>
  </sheetViews>
  <sheetFormatPr defaultRowHeight="17.25" x14ac:dyDescent="0.3"/>
  <cols>
    <col min="1" max="1" width="15.88671875" bestFit="1" customWidth="1"/>
    <col min="2" max="2" width="10.88671875" bestFit="1" customWidth="1"/>
    <col min="3" max="3" width="11.44140625" bestFit="1" customWidth="1"/>
    <col min="4" max="4" width="8.88671875" style="19"/>
  </cols>
  <sheetData>
    <row r="2" spans="1:4" ht="20.25" x14ac:dyDescent="0.3">
      <c r="A2" s="21" t="s">
        <v>30</v>
      </c>
      <c r="B2" s="21" t="s">
        <v>28</v>
      </c>
      <c r="C2" s="21" t="s">
        <v>21</v>
      </c>
      <c r="D2" s="21" t="s">
        <v>29</v>
      </c>
    </row>
    <row r="3" spans="1:4" ht="20.25" x14ac:dyDescent="0.3">
      <c r="A3" t="str">
        <f>B3&amp;"-"&amp;C3</f>
        <v>Conservador-Papel</v>
      </c>
      <c r="B3" t="s">
        <v>27</v>
      </c>
      <c r="C3" s="20" t="s">
        <v>24</v>
      </c>
      <c r="D3" s="22">
        <v>0.1</v>
      </c>
    </row>
    <row r="4" spans="1:4" ht="20.25" x14ac:dyDescent="0.3">
      <c r="A4" t="str">
        <f>B4&amp;"-"&amp;C4</f>
        <v>Conservador-Tijolo</v>
      </c>
      <c r="B4" t="s">
        <v>27</v>
      </c>
      <c r="C4" s="20" t="s">
        <v>25</v>
      </c>
      <c r="D4" s="22">
        <v>0.8</v>
      </c>
    </row>
    <row r="5" spans="1:4" ht="20.25" x14ac:dyDescent="0.3">
      <c r="A5" t="str">
        <f>B5&amp;"-"&amp;C5</f>
        <v>Conservador-Hibridos</v>
      </c>
      <c r="B5" t="s">
        <v>27</v>
      </c>
      <c r="C5" s="20" t="s">
        <v>26</v>
      </c>
      <c r="D5" s="22">
        <v>0.1</v>
      </c>
    </row>
    <row r="7" spans="1:4" ht="20.25" x14ac:dyDescent="0.3">
      <c r="A7" t="str">
        <f>B7&amp;"-"&amp;C7</f>
        <v>Moderado-Papel</v>
      </c>
      <c r="B7" t="s">
        <v>19</v>
      </c>
      <c r="C7" s="20" t="s">
        <v>24</v>
      </c>
      <c r="D7" s="22">
        <v>0.18</v>
      </c>
    </row>
    <row r="8" spans="1:4" ht="20.25" x14ac:dyDescent="0.3">
      <c r="A8" t="str">
        <f>B8&amp;"-"&amp;C8</f>
        <v>Moderado-Tijolo</v>
      </c>
      <c r="B8" t="s">
        <v>19</v>
      </c>
      <c r="C8" s="20" t="s">
        <v>25</v>
      </c>
      <c r="D8" s="22">
        <v>0.52</v>
      </c>
    </row>
    <row r="9" spans="1:4" ht="20.25" x14ac:dyDescent="0.3">
      <c r="A9" t="str">
        <f>B9&amp;"-"&amp;C9</f>
        <v>Moderado-Hibridos</v>
      </c>
      <c r="B9" t="s">
        <v>19</v>
      </c>
      <c r="C9" s="20" t="s">
        <v>26</v>
      </c>
      <c r="D9" s="22">
        <v>0.3</v>
      </c>
    </row>
    <row r="11" spans="1:4" ht="20.25" x14ac:dyDescent="0.3">
      <c r="A11" t="str">
        <f>B11&amp;"-"&amp;C11</f>
        <v>Arrojado-Papel</v>
      </c>
      <c r="B11" t="s">
        <v>18</v>
      </c>
      <c r="C11" s="20" t="s">
        <v>24</v>
      </c>
      <c r="D11" s="22">
        <v>0.35</v>
      </c>
    </row>
    <row r="12" spans="1:4" ht="20.25" x14ac:dyDescent="0.3">
      <c r="A12" t="str">
        <f>B12&amp;"-"&amp;C12</f>
        <v>Arrojado-Tijolo</v>
      </c>
      <c r="B12" t="s">
        <v>18</v>
      </c>
      <c r="C12" s="20" t="s">
        <v>25</v>
      </c>
      <c r="D12" s="22">
        <v>0.25</v>
      </c>
    </row>
    <row r="13" spans="1:4" ht="20.25" x14ac:dyDescent="0.3">
      <c r="A13" t="str">
        <f>B13&amp;"-"&amp;C13</f>
        <v>Arrojado-Hibridos</v>
      </c>
      <c r="B13" t="s">
        <v>18</v>
      </c>
      <c r="C13" s="20" t="s">
        <v>26</v>
      </c>
      <c r="D13" s="22">
        <v>0.4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PROV</vt:lpstr>
      <vt:lpstr>Aporte</vt:lpstr>
      <vt:lpstr>patrimonio</vt:lpstr>
      <vt:lpstr>periodo</vt:lpstr>
      <vt:lpstr>Rendimento_carteira</vt:lpstr>
      <vt:lpstr>salario</vt:lpstr>
      <vt:lpstr>sug_invest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Espindola</dc:creator>
  <cp:lastModifiedBy>Theo Espindola</cp:lastModifiedBy>
  <dcterms:created xsi:type="dcterms:W3CDTF">2026-10-07T12:36:46Z</dcterms:created>
  <dcterms:modified xsi:type="dcterms:W3CDTF">2026-10-07T17:55:44Z</dcterms:modified>
</cp:coreProperties>
</file>